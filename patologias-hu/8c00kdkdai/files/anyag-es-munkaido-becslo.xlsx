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cslés" sheetId="1" state="visible" r:id="rId1"/>
    <sheet xmlns:r="http://schemas.openxmlformats.org/officeDocument/2006/relationships" name="Hibá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02E4A"/>
      <sz val="14"/>
    </font>
    <font>
      <i val="1"/>
      <color rgb="005B7A99"/>
    </font>
    <font>
      <b val="1"/>
    </font>
    <font>
      <b val="1"/>
      <color rgb="00FFFFFF"/>
    </font>
    <font>
      <b val="1"/>
      <color rgb="00E87512"/>
    </font>
    <font>
      <b val="1"/>
      <color rgb="00E87512"/>
      <sz val="12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02E4A"/>
      </patternFill>
    </fill>
  </fills>
  <borders count="2">
    <border>
      <left/>
      <right/>
      <top/>
      <bottom/>
      <diagonal/>
    </border>
    <border>
      <left style="thin">
        <color rgb="00E3DED2"/>
      </left>
      <right style="thin">
        <color rgb="00E3DED2"/>
      </right>
      <top style="thin">
        <color rgb="00E3DED2"/>
      </top>
      <bottom style="thin">
        <color rgb="00E3DED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2" borderId="1" pivotButton="0" quotePrefix="0" xfId="0"/>
    <xf numFmtId="3" fontId="0" fillId="2" borderId="1" pivotButton="0" quotePrefix="0" xfId="0"/>
    <xf numFmtId="3" fontId="0" fillId="0" borderId="1" pivotButton="0" quotePrefix="0" xfId="0"/>
    <xf numFmtId="3" fontId="5" fillId="0" borderId="0" pivotButton="0" quotePrefix="0" xfId="0"/>
    <xf numFmtId="3" fontId="6" fillId="0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1" customWidth="1" min="3" max="3"/>
    <col width="9" customWidth="1" min="4" max="4"/>
    <col width="14" customWidth="1" min="5" max="5"/>
    <col width="16" customWidth="1" min="6" max="6"/>
    <col width="11" customWidth="1" min="7" max="7"/>
    <col width="14" customWidth="1" min="8" max="8"/>
    <col width="16" customWidth="1" min="9" max="9"/>
  </cols>
  <sheetData>
    <row r="1">
      <c r="A1" s="1" t="inlineStr">
        <is>
          <t>Anyag- és munkaidő-becslő · Építési Hibák Vizuális Atlasza</t>
        </is>
      </c>
    </row>
    <row r="2">
      <c r="A2" s="2" t="inlineStr">
        <is>
          <t>Válaszd ki a hibát, írd be a mennyiséget, az egységárat és a becsült munkaórát. A sárga mezőket töltsd ki; a többit a táblázat számolja.</t>
        </is>
      </c>
    </row>
    <row r="3">
      <c r="A3" s="3" t="inlineStr">
        <is>
          <t>Órabér (Ft/óra):</t>
        </is>
      </c>
      <c r="B3" s="4" t="n">
        <v>0</v>
      </c>
    </row>
    <row r="5">
      <c r="A5" s="5" t="inlineStr">
        <is>
          <t>Hiba (atlasz)</t>
        </is>
      </c>
      <c r="B5" s="5" t="inlineStr">
        <is>
          <t>Tétel / anyag</t>
        </is>
      </c>
      <c r="C5" s="5" t="inlineStr">
        <is>
          <t>Mennyiség</t>
        </is>
      </c>
      <c r="D5" s="5" t="inlineStr">
        <is>
          <t>Egység</t>
        </is>
      </c>
      <c r="E5" s="5" t="inlineStr">
        <is>
          <t>Egységár (Ft)</t>
        </is>
      </c>
      <c r="F5" s="5" t="inlineStr">
        <is>
          <t>Anyagköltség (Ft)</t>
        </is>
      </c>
      <c r="G5" s="5" t="inlineStr">
        <is>
          <t>Munkaóra</t>
        </is>
      </c>
      <c r="H5" s="5" t="inlineStr">
        <is>
          <t>Munkadíj (Ft)</t>
        </is>
      </c>
      <c r="I5" s="5" t="inlineStr">
        <is>
          <t>Összesen (Ft)</t>
        </is>
      </c>
    </row>
    <row r="6">
      <c r="A6" s="6" t="n"/>
      <c r="B6" s="6" t="n"/>
      <c r="C6" s="6" t="n"/>
      <c r="D6" s="6" t="n"/>
      <c r="E6" s="7" t="n"/>
      <c r="F6" s="8">
        <f>C6*E6</f>
        <v/>
      </c>
      <c r="G6" s="6" t="n"/>
      <c r="H6" s="8">
        <f>G6*$B$3</f>
        <v/>
      </c>
      <c r="I6" s="8">
        <f>F6+H6</f>
        <v/>
      </c>
    </row>
    <row r="7">
      <c r="A7" s="6" t="n"/>
      <c r="B7" s="6" t="n"/>
      <c r="C7" s="6" t="n"/>
      <c r="D7" s="6" t="n"/>
      <c r="E7" s="7" t="n"/>
      <c r="F7" s="8">
        <f>C7*E7</f>
        <v/>
      </c>
      <c r="G7" s="6" t="n"/>
      <c r="H7" s="8">
        <f>G7*$B$3</f>
        <v/>
      </c>
      <c r="I7" s="8">
        <f>F7+H7</f>
        <v/>
      </c>
    </row>
    <row r="8">
      <c r="A8" s="6" t="n"/>
      <c r="B8" s="6" t="n"/>
      <c r="C8" s="6" t="n"/>
      <c r="D8" s="6" t="n"/>
      <c r="E8" s="7" t="n"/>
      <c r="F8" s="8">
        <f>C8*E8</f>
        <v/>
      </c>
      <c r="G8" s="6" t="n"/>
      <c r="H8" s="8">
        <f>G8*$B$3</f>
        <v/>
      </c>
      <c r="I8" s="8">
        <f>F8+H8</f>
        <v/>
      </c>
    </row>
    <row r="9">
      <c r="A9" s="6" t="n"/>
      <c r="B9" s="6" t="n"/>
      <c r="C9" s="6" t="n"/>
      <c r="D9" s="6" t="n"/>
      <c r="E9" s="7" t="n"/>
      <c r="F9" s="8">
        <f>C9*E9</f>
        <v/>
      </c>
      <c r="G9" s="6" t="n"/>
      <c r="H9" s="8">
        <f>G9*$B$3</f>
        <v/>
      </c>
      <c r="I9" s="8">
        <f>F9+H9</f>
        <v/>
      </c>
    </row>
    <row r="10">
      <c r="A10" s="6" t="n"/>
      <c r="B10" s="6" t="n"/>
      <c r="C10" s="6" t="n"/>
      <c r="D10" s="6" t="n"/>
      <c r="E10" s="7" t="n"/>
      <c r="F10" s="8">
        <f>C10*E10</f>
        <v/>
      </c>
      <c r="G10" s="6" t="n"/>
      <c r="H10" s="8">
        <f>G10*$B$3</f>
        <v/>
      </c>
      <c r="I10" s="8">
        <f>F10+H10</f>
        <v/>
      </c>
    </row>
    <row r="11">
      <c r="A11" s="6" t="n"/>
      <c r="B11" s="6" t="n"/>
      <c r="C11" s="6" t="n"/>
      <c r="D11" s="6" t="n"/>
      <c r="E11" s="7" t="n"/>
      <c r="F11" s="8">
        <f>C11*E11</f>
        <v/>
      </c>
      <c r="G11" s="6" t="n"/>
      <c r="H11" s="8">
        <f>G11*$B$3</f>
        <v/>
      </c>
      <c r="I11" s="8">
        <f>F11+H11</f>
        <v/>
      </c>
    </row>
    <row r="12">
      <c r="A12" s="6" t="n"/>
      <c r="B12" s="6" t="n"/>
      <c r="C12" s="6" t="n"/>
      <c r="D12" s="6" t="n"/>
      <c r="E12" s="7" t="n"/>
      <c r="F12" s="8">
        <f>C12*E12</f>
        <v/>
      </c>
      <c r="G12" s="6" t="n"/>
      <c r="H12" s="8">
        <f>G12*$B$3</f>
        <v/>
      </c>
      <c r="I12" s="8">
        <f>F12+H12</f>
        <v/>
      </c>
    </row>
    <row r="13">
      <c r="A13" s="6" t="n"/>
      <c r="B13" s="6" t="n"/>
      <c r="C13" s="6" t="n"/>
      <c r="D13" s="6" t="n"/>
      <c r="E13" s="7" t="n"/>
      <c r="F13" s="8">
        <f>C13*E13</f>
        <v/>
      </c>
      <c r="G13" s="6" t="n"/>
      <c r="H13" s="8">
        <f>G13*$B$3</f>
        <v/>
      </c>
      <c r="I13" s="8">
        <f>F13+H13</f>
        <v/>
      </c>
    </row>
    <row r="14">
      <c r="A14" s="6" t="n"/>
      <c r="B14" s="6" t="n"/>
      <c r="C14" s="6" t="n"/>
      <c r="D14" s="6" t="n"/>
      <c r="E14" s="7" t="n"/>
      <c r="F14" s="8">
        <f>C14*E14</f>
        <v/>
      </c>
      <c r="G14" s="6" t="n"/>
      <c r="H14" s="8">
        <f>G14*$B$3</f>
        <v/>
      </c>
      <c r="I14" s="8">
        <f>F14+H14</f>
        <v/>
      </c>
    </row>
    <row r="15">
      <c r="A15" s="6" t="n"/>
      <c r="B15" s="6" t="n"/>
      <c r="C15" s="6" t="n"/>
      <c r="D15" s="6" t="n"/>
      <c r="E15" s="7" t="n"/>
      <c r="F15" s="8">
        <f>C15*E15</f>
        <v/>
      </c>
      <c r="G15" s="6" t="n"/>
      <c r="H15" s="8">
        <f>G15*$B$3</f>
        <v/>
      </c>
      <c r="I15" s="8">
        <f>F15+H15</f>
        <v/>
      </c>
    </row>
    <row r="16">
      <c r="A16" s="6" t="n"/>
      <c r="B16" s="6" t="n"/>
      <c r="C16" s="6" t="n"/>
      <c r="D16" s="6" t="n"/>
      <c r="E16" s="7" t="n"/>
      <c r="F16" s="8">
        <f>C16*E16</f>
        <v/>
      </c>
      <c r="G16" s="6" t="n"/>
      <c r="H16" s="8">
        <f>G16*$B$3</f>
        <v/>
      </c>
      <c r="I16" s="8">
        <f>F16+H16</f>
        <v/>
      </c>
    </row>
    <row r="17">
      <c r="A17" s="6" t="n"/>
      <c r="B17" s="6" t="n"/>
      <c r="C17" s="6" t="n"/>
      <c r="D17" s="6" t="n"/>
      <c r="E17" s="7" t="n"/>
      <c r="F17" s="8">
        <f>C17*E17</f>
        <v/>
      </c>
      <c r="G17" s="6" t="n"/>
      <c r="H17" s="8">
        <f>G17*$B$3</f>
        <v/>
      </c>
      <c r="I17" s="8">
        <f>F17+H17</f>
        <v/>
      </c>
    </row>
    <row r="18">
      <c r="A18" s="6" t="n"/>
      <c r="B18" s="6" t="n"/>
      <c r="C18" s="6" t="n"/>
      <c r="D18" s="6" t="n"/>
      <c r="E18" s="7" t="n"/>
      <c r="F18" s="8">
        <f>C18*E18</f>
        <v/>
      </c>
      <c r="G18" s="6" t="n"/>
      <c r="H18" s="8">
        <f>G18*$B$3</f>
        <v/>
      </c>
      <c r="I18" s="8">
        <f>F18+H18</f>
        <v/>
      </c>
    </row>
    <row r="19">
      <c r="A19" s="6" t="n"/>
      <c r="B19" s="6" t="n"/>
      <c r="C19" s="6" t="n"/>
      <c r="D19" s="6" t="n"/>
      <c r="E19" s="7" t="n"/>
      <c r="F19" s="8">
        <f>C19*E19</f>
        <v/>
      </c>
      <c r="G19" s="6" t="n"/>
      <c r="H19" s="8">
        <f>G19*$B$3</f>
        <v/>
      </c>
      <c r="I19" s="8">
        <f>F19+H19</f>
        <v/>
      </c>
    </row>
    <row r="20">
      <c r="A20" s="6" t="n"/>
      <c r="B20" s="6" t="n"/>
      <c r="C20" s="6" t="n"/>
      <c r="D20" s="6" t="n"/>
      <c r="E20" s="7" t="n"/>
      <c r="F20" s="8">
        <f>C20*E20</f>
        <v/>
      </c>
      <c r="G20" s="6" t="n"/>
      <c r="H20" s="8">
        <f>G20*$B$3</f>
        <v/>
      </c>
      <c r="I20" s="8">
        <f>F20+H20</f>
        <v/>
      </c>
    </row>
    <row r="21">
      <c r="A21" s="6" t="n"/>
      <c r="B21" s="6" t="n"/>
      <c r="C21" s="6" t="n"/>
      <c r="D21" s="6" t="n"/>
      <c r="E21" s="7" t="n"/>
      <c r="F21" s="8">
        <f>C21*E21</f>
        <v/>
      </c>
      <c r="G21" s="6" t="n"/>
      <c r="H21" s="8">
        <f>G21*$B$3</f>
        <v/>
      </c>
      <c r="I21" s="8">
        <f>F21+H21</f>
        <v/>
      </c>
    </row>
    <row r="22">
      <c r="A22" s="6" t="n"/>
      <c r="B22" s="6" t="n"/>
      <c r="C22" s="6" t="n"/>
      <c r="D22" s="6" t="n"/>
      <c r="E22" s="7" t="n"/>
      <c r="F22" s="8">
        <f>C22*E22</f>
        <v/>
      </c>
      <c r="G22" s="6" t="n"/>
      <c r="H22" s="8">
        <f>G22*$B$3</f>
        <v/>
      </c>
      <c r="I22" s="8">
        <f>F22+H22</f>
        <v/>
      </c>
    </row>
    <row r="23">
      <c r="A23" s="6" t="n"/>
      <c r="B23" s="6" t="n"/>
      <c r="C23" s="6" t="n"/>
      <c r="D23" s="6" t="n"/>
      <c r="E23" s="7" t="n"/>
      <c r="F23" s="8">
        <f>C23*E23</f>
        <v/>
      </c>
      <c r="G23" s="6" t="n"/>
      <c r="H23" s="8">
        <f>G23*$B$3</f>
        <v/>
      </c>
      <c r="I23" s="8">
        <f>F23+H23</f>
        <v/>
      </c>
    </row>
    <row r="24">
      <c r="A24" s="6" t="n"/>
      <c r="B24" s="6" t="n"/>
      <c r="C24" s="6" t="n"/>
      <c r="D24" s="6" t="n"/>
      <c r="E24" s="7" t="n"/>
      <c r="F24" s="8">
        <f>C24*E24</f>
        <v/>
      </c>
      <c r="G24" s="6" t="n"/>
      <c r="H24" s="8">
        <f>G24*$B$3</f>
        <v/>
      </c>
      <c r="I24" s="8">
        <f>F24+H24</f>
        <v/>
      </c>
    </row>
    <row r="25">
      <c r="A25" s="6" t="n"/>
      <c r="B25" s="6" t="n"/>
      <c r="C25" s="6" t="n"/>
      <c r="D25" s="6" t="n"/>
      <c r="E25" s="7" t="n"/>
      <c r="F25" s="8">
        <f>C25*E25</f>
        <v/>
      </c>
      <c r="G25" s="6" t="n"/>
      <c r="H25" s="8">
        <f>G25*$B$3</f>
        <v/>
      </c>
      <c r="I25" s="8">
        <f>F25+H25</f>
        <v/>
      </c>
    </row>
    <row r="26">
      <c r="A26" s="6" t="n"/>
      <c r="B26" s="6" t="n"/>
      <c r="C26" s="6" t="n"/>
      <c r="D26" s="6" t="n"/>
      <c r="E26" s="7" t="n"/>
      <c r="F26" s="8">
        <f>C26*E26</f>
        <v/>
      </c>
      <c r="G26" s="6" t="n"/>
      <c r="H26" s="8">
        <f>G26*$B$3</f>
        <v/>
      </c>
      <c r="I26" s="8">
        <f>F26+H26</f>
        <v/>
      </c>
    </row>
    <row r="27">
      <c r="A27" s="6" t="n"/>
      <c r="B27" s="6" t="n"/>
      <c r="C27" s="6" t="n"/>
      <c r="D27" s="6" t="n"/>
      <c r="E27" s="7" t="n"/>
      <c r="F27" s="8">
        <f>C27*E27</f>
        <v/>
      </c>
      <c r="G27" s="6" t="n"/>
      <c r="H27" s="8">
        <f>G27*$B$3</f>
        <v/>
      </c>
      <c r="I27" s="8">
        <f>F27+H27</f>
        <v/>
      </c>
    </row>
    <row r="28">
      <c r="A28" s="6" t="n"/>
      <c r="B28" s="6" t="n"/>
      <c r="C28" s="6" t="n"/>
      <c r="D28" s="6" t="n"/>
      <c r="E28" s="7" t="n"/>
      <c r="F28" s="8">
        <f>C28*E28</f>
        <v/>
      </c>
      <c r="G28" s="6" t="n"/>
      <c r="H28" s="8">
        <f>G28*$B$3</f>
        <v/>
      </c>
      <c r="I28" s="8">
        <f>F28+H28</f>
        <v/>
      </c>
    </row>
    <row r="29">
      <c r="A29" s="6" t="n"/>
      <c r="B29" s="6" t="n"/>
      <c r="C29" s="6" t="n"/>
      <c r="D29" s="6" t="n"/>
      <c r="E29" s="7" t="n"/>
      <c r="F29" s="8">
        <f>C29*E29</f>
        <v/>
      </c>
      <c r="G29" s="6" t="n"/>
      <c r="H29" s="8">
        <f>G29*$B$3</f>
        <v/>
      </c>
      <c r="I29" s="8">
        <f>F29+H29</f>
        <v/>
      </c>
    </row>
    <row r="30">
      <c r="A30" s="6" t="n"/>
      <c r="B30" s="6" t="n"/>
      <c r="C30" s="6" t="n"/>
      <c r="D30" s="6" t="n"/>
      <c r="E30" s="7" t="n"/>
      <c r="F30" s="8">
        <f>C30*E30</f>
        <v/>
      </c>
      <c r="G30" s="6" t="n"/>
      <c r="H30" s="8">
        <f>G30*$B$3</f>
        <v/>
      </c>
      <c r="I30" s="8">
        <f>F30+H30</f>
        <v/>
      </c>
    </row>
    <row r="31">
      <c r="A31" s="6" t="n"/>
      <c r="B31" s="6" t="n"/>
      <c r="C31" s="6" t="n"/>
      <c r="D31" s="6" t="n"/>
      <c r="E31" s="7" t="n"/>
      <c r="F31" s="8">
        <f>C31*E31</f>
        <v/>
      </c>
      <c r="G31" s="6" t="n"/>
      <c r="H31" s="8">
        <f>G31*$B$3</f>
        <v/>
      </c>
      <c r="I31" s="8">
        <f>F31+H31</f>
        <v/>
      </c>
    </row>
    <row r="32">
      <c r="A32" s="6" t="n"/>
      <c r="B32" s="6" t="n"/>
      <c r="C32" s="6" t="n"/>
      <c r="D32" s="6" t="n"/>
      <c r="E32" s="7" t="n"/>
      <c r="F32" s="8">
        <f>C32*E32</f>
        <v/>
      </c>
      <c r="G32" s="6" t="n"/>
      <c r="H32" s="8">
        <f>G32*$B$3</f>
        <v/>
      </c>
      <c r="I32" s="8">
        <f>F32+H32</f>
        <v/>
      </c>
    </row>
    <row r="33">
      <c r="A33" s="6" t="n"/>
      <c r="B33" s="6" t="n"/>
      <c r="C33" s="6" t="n"/>
      <c r="D33" s="6" t="n"/>
      <c r="E33" s="7" t="n"/>
      <c r="F33" s="8">
        <f>C33*E33</f>
        <v/>
      </c>
      <c r="G33" s="6" t="n"/>
      <c r="H33" s="8">
        <f>G33*$B$3</f>
        <v/>
      </c>
      <c r="I33" s="8">
        <f>F33+H33</f>
        <v/>
      </c>
    </row>
    <row r="34">
      <c r="A34" s="6" t="n"/>
      <c r="B34" s="6" t="n"/>
      <c r="C34" s="6" t="n"/>
      <c r="D34" s="6" t="n"/>
      <c r="E34" s="7" t="n"/>
      <c r="F34" s="8">
        <f>C34*E34</f>
        <v/>
      </c>
      <c r="G34" s="6" t="n"/>
      <c r="H34" s="8">
        <f>G34*$B$3</f>
        <v/>
      </c>
      <c r="I34" s="8">
        <f>F34+H34</f>
        <v/>
      </c>
    </row>
    <row r="35">
      <c r="A35" s="6" t="n"/>
      <c r="B35" s="6" t="n"/>
      <c r="C35" s="6" t="n"/>
      <c r="D35" s="6" t="n"/>
      <c r="E35" s="7" t="n"/>
      <c r="F35" s="8">
        <f>C35*E35</f>
        <v/>
      </c>
      <c r="G35" s="6" t="n"/>
      <c r="H35" s="8">
        <f>G35*$B$3</f>
        <v/>
      </c>
      <c r="I35" s="8">
        <f>F35+H35</f>
        <v/>
      </c>
    </row>
    <row r="37">
      <c r="H37" s="3" t="inlineStr">
        <is>
          <t>Nettó összesen:</t>
        </is>
      </c>
      <c r="I37" s="9">
        <f>SUM(I6:I35)</f>
        <v/>
      </c>
    </row>
    <row r="38">
      <c r="H38" t="inlineStr">
        <is>
          <t>ÁFA (%):</t>
        </is>
      </c>
      <c r="I38" s="4" t="n">
        <v>27</v>
      </c>
    </row>
    <row r="39">
      <c r="H39" s="3" t="inlineStr">
        <is>
          <t>Bruttó összesen:</t>
        </is>
      </c>
      <c r="I39" s="10">
        <f>I37*(1+I38/100)</f>
        <v/>
      </c>
    </row>
    <row r="41">
      <c r="A41" s="2" t="inlineStr">
        <is>
          <t>Az egységárakat és a munkaórákat a saját beszerzési áraid és tapasztalatod alapján add meg. A táblázat becslés, nem ajánlat.</t>
        </is>
      </c>
    </row>
  </sheetData>
  <dataValidations count="2">
    <dataValidation sqref="A6 A7 A8 A9 A10 A11 A12 A13 A14 A15 A16 A17 A18 A19 A20 A21 A22 A23 A24 A25 A26 A27 A28 A29 A30 A31 A32 A33 A34 A35" showDropDown="0" showInputMessage="0" showErrorMessage="0" allowBlank="1" type="list">
      <formula1>=Hibák!$A$2:$A$51</formula1>
    </dataValidation>
    <dataValidation sqref="D6 D7 D8 D9 D10 D11 D12 D13 D14 D15 D16 D17 D18 D19 D20 D21 D22 D23 D24 D25 D26 D27 D28 D29 D30 D31 D32 D33 D34 D35" showDropDown="0" showInputMessage="0" showErrorMessage="0" allowBlank="1" type="list">
      <formula1>"m²,fm,db,kg,l,óra,tétel"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90" customWidth="1" min="4" max="4"/>
  </cols>
  <sheetData>
    <row r="1">
      <c r="A1" s="11" t="inlineStr">
        <is>
          <t>Hiba</t>
        </is>
      </c>
      <c r="B1" s="11" t="inlineStr">
        <is>
          <t>Fejezet</t>
        </is>
      </c>
      <c r="C1" s="11" t="inlineStr">
        <is>
          <t>Figyelmi szint</t>
        </is>
      </c>
      <c r="D1" s="11" t="inlineStr">
        <is>
          <t>Tipikus anyagok és eszközök</t>
        </is>
      </c>
    </row>
    <row r="2">
      <c r="A2" t="inlineStr">
        <is>
          <t>1. Fészkesedés a pilléreken</t>
        </is>
      </c>
      <c r="B2" t="inlineStr">
        <is>
          <t>Beton és vasbeton</t>
        </is>
      </c>
      <c r="C2" t="inlineStr">
        <is>
          <t>KÖZEPES</t>
        </is>
      </c>
      <c r="D2" t="inlineStr">
        <is>
          <t>kalapács, véső; drótkefe; korrózióvédő bevonat; tapadóhíd; szerkezeti javítóhabarcs</t>
        </is>
      </c>
    </row>
    <row r="3">
      <c r="A3" t="inlineStr">
        <is>
          <t>2. Hideg munkahézag a betonban</t>
        </is>
      </c>
      <c r="B3" t="inlineStr">
        <is>
          <t>Beton és vasbeton</t>
        </is>
      </c>
      <c r="C3" t="inlineStr">
        <is>
          <t>KÖZEPES</t>
        </is>
      </c>
      <c r="D3" t="inlineStr">
        <is>
          <t>injektáló pakkerek és gép; poliuretán vagy epoxi injektáló gyanta; javítóhabarcs; vízzáró bevonat</t>
        </is>
      </c>
    </row>
    <row r="4">
      <c r="A4" t="inlineStr">
        <is>
          <t>3. Plasztikus zsugorodási repedés</t>
        </is>
      </c>
      <c r="B4" t="inlineStr">
        <is>
          <t>Repedések és mozgások</t>
        </is>
      </c>
      <c r="C4" t="inlineStr">
        <is>
          <t>ALACSONY</t>
        </is>
      </c>
      <c r="D4" t="inlineStr">
        <is>
          <t>repedésmérő; porszívó; kis viszkozitású gyanta; felületi bevonat</t>
        </is>
      </c>
    </row>
    <row r="5">
      <c r="A5" t="inlineStr">
        <is>
          <t>4. Száradási zsugorodási repedés</t>
        </is>
      </c>
      <c r="B5" t="inlineStr">
        <is>
          <t>Repedések és mozgások</t>
        </is>
      </c>
      <c r="C5" t="inlineStr">
        <is>
          <t>KÖZEPES</t>
        </is>
      </c>
      <c r="D5" t="inlineStr">
        <is>
          <t>repedésmérő; vágókorong; rugalmas tömítő; injektáló gyanta</t>
        </is>
      </c>
    </row>
    <row r="6">
      <c r="A6" t="inlineStr">
        <is>
          <t>5. Felszíni hálós repedés</t>
        </is>
      </c>
      <c r="B6" t="inlineStr">
        <is>
          <t>Repedések és mozgások</t>
        </is>
      </c>
      <c r="C6" t="inlineStr">
        <is>
          <t>ALACSONY</t>
        </is>
      </c>
      <c r="D6" t="inlineStr">
        <is>
          <t>kalapács a kopogtatáshoz; alapozó; rugalmas festék vagy vékonyvakolat</t>
        </is>
      </c>
    </row>
    <row r="7">
      <c r="A7" t="inlineStr">
        <is>
          <t>6. Függőleges repedés a falazatban</t>
        </is>
      </c>
      <c r="B7" t="inlineStr">
        <is>
          <t>Repedések és mozgások</t>
        </is>
      </c>
      <c r="C7" t="inlineStr">
        <is>
          <t>KÖZEPES</t>
        </is>
      </c>
      <c r="D7" t="inlineStr">
        <is>
          <t>repedésfigyelő (gipszpecsét vagy repedésmérő); rugalmas kitöltőanyag; üvegszövet háló; javítóvakolat</t>
        </is>
      </c>
    </row>
    <row r="8">
      <c r="A8" t="inlineStr">
        <is>
          <t>7. Ferde repedés ajtók és ablakok sarkánál</t>
        </is>
      </c>
      <c r="B8" t="inlineStr">
        <is>
          <t>Repedések és mozgások</t>
        </is>
      </c>
      <c r="C8" t="inlineStr">
        <is>
          <t>KÖZEPES</t>
        </is>
      </c>
      <c r="D8" t="inlineStr">
        <is>
          <t>repedésmérő; átlós sarokerősítő háló; javítóvakolat</t>
        </is>
      </c>
    </row>
    <row r="9">
      <c r="A9" t="inlineStr">
        <is>
          <t>8. Vízszintes repedés a falazatban</t>
        </is>
      </c>
      <c r="B9" t="inlineStr">
        <is>
          <t>Repedések és mozgások</t>
        </is>
      </c>
      <c r="C9" t="inlineStr">
        <is>
          <t>MAGAS</t>
        </is>
      </c>
      <c r="D9" t="inlineStr">
        <is>
          <t>vízmérték, zsinór; repedésmérő; fotódokumentáció</t>
        </is>
      </c>
    </row>
    <row r="10">
      <c r="A10" t="inlineStr">
        <is>
          <t>9. Lépcsős repedés a téglafalban</t>
        </is>
      </c>
      <c r="B10" t="inlineStr">
        <is>
          <t>Repedések és mozgások</t>
        </is>
      </c>
      <c r="C10" t="inlineStr">
        <is>
          <t>MAGAS</t>
        </is>
      </c>
      <c r="D10" t="inlineStr">
        <is>
          <t>repedésmérő; spirál falvarró acél; injektáló habarcs; háló és javítóvakolat</t>
        </is>
      </c>
    </row>
    <row r="11">
      <c r="A11" t="inlineStr">
        <is>
          <t>10. Nyírási repedés a támasz közelében</t>
        </is>
      </c>
      <c r="B11" t="inlineStr">
        <is>
          <t>Beton és vasbeton</t>
        </is>
      </c>
      <c r="C11" t="inlineStr">
        <is>
          <t>SÜRGŐS</t>
        </is>
      </c>
      <c r="D11" t="inlineStr">
        <is>
          <t>ideiglenes alátámasztás; fotó és mérés; a statikus által előírt anyagok</t>
        </is>
      </c>
    </row>
    <row r="12">
      <c r="A12" t="inlineStr">
        <is>
          <t>11. Hajlítási repedés a gerenda alján</t>
        </is>
      </c>
      <c r="B12" t="inlineStr">
        <is>
          <t>Beton és vasbeton</t>
        </is>
      </c>
      <c r="C12" t="inlineStr">
        <is>
          <t>MAGAS</t>
        </is>
      </c>
      <c r="D12" t="inlineStr">
        <is>
          <t>repedésmérő; vízmérték vagy lézer a lehajláshoz; injektáló epoxi</t>
        </is>
      </c>
    </row>
    <row r="13">
      <c r="A13" t="inlineStr">
        <is>
          <t>12. Repedés a födém és a fal csatlakozásánál</t>
        </is>
      </c>
      <c r="B13" t="inlineStr">
        <is>
          <t>Repedések és mozgások</t>
        </is>
      </c>
      <c r="C13" t="inlineStr">
        <is>
          <t>KÖZEPES</t>
        </is>
      </c>
      <c r="D13" t="inlineStr">
        <is>
          <t>rugalmas akril tömítő; árnyékhézag-profil; festék</t>
        </is>
      </c>
    </row>
    <row r="14">
      <c r="A14" t="inlineStr">
        <is>
          <t>13. Aktív, növekvő repedés</t>
        </is>
      </c>
      <c r="B14" t="inlineStr">
        <is>
          <t>Repedések és mozgások</t>
        </is>
      </c>
      <c r="C14" t="inlineStr">
        <is>
          <t>SÜRGŐS</t>
        </is>
      </c>
      <c r="D14" t="inlineStr">
        <is>
          <t>repedésfigyelő; repedésmérő; fotó dátummal</t>
        </is>
      </c>
    </row>
    <row r="15">
      <c r="A15" t="inlineStr">
        <is>
          <t>14. Passzív (stabilizálódott) repedés</t>
        </is>
      </c>
      <c r="B15" t="inlineStr">
        <is>
          <t>Repedések és mozgások</t>
        </is>
      </c>
      <c r="C15" t="inlineStr">
        <is>
          <t>ALACSONY</t>
        </is>
      </c>
      <c r="D15" t="inlineStr">
        <is>
          <t>repedésfigyelő; kitöltő vagy injektáló anyag; háló és javítóvakolat</t>
        </is>
      </c>
    </row>
    <row r="16">
      <c r="A16" t="inlineStr">
        <is>
          <t>15. Hőmozgásból eredő repedés</t>
        </is>
      </c>
      <c r="B16" t="inlineStr">
        <is>
          <t>Repedések és mozgások</t>
        </is>
      </c>
      <c r="C16" t="inlineStr">
        <is>
          <t>KÖZEPES</t>
        </is>
      </c>
      <c r="D16" t="inlineStr">
        <is>
          <t>vágókorong; dilatációs profil; rugalmas tömítő</t>
        </is>
      </c>
    </row>
    <row r="17">
      <c r="A17" t="inlineStr">
        <is>
          <t>16. Alapozás differenciális süllyedése</t>
        </is>
      </c>
      <c r="B17" t="inlineStr">
        <is>
          <t>Repedések és mozgások</t>
        </is>
      </c>
      <c r="C17" t="inlineStr">
        <is>
          <t>MAGAS</t>
        </is>
      </c>
      <c r="D17" t="inlineStr">
        <is>
          <t>szintező műszer; repedésfigyelők; a szakértők által előírt anyagok</t>
        </is>
      </c>
    </row>
    <row r="18">
      <c r="A18" t="inlineStr">
        <is>
          <t>17. Felszívódó talajnedvesség a falak tövében</t>
        </is>
      </c>
      <c r="B18" t="inlineStr">
        <is>
          <t>Nedvesség és beázás</t>
        </is>
      </c>
      <c r="C18" t="inlineStr">
        <is>
          <t>KÖZEPES</t>
        </is>
      </c>
      <c r="D18" t="inlineStr">
        <is>
          <t>nedvességmérő; injektáló krém vagy falátvágó gép és szigetelőlemez; szanálóvakolat-rendszer (alapozó, kiegyenlítő, szanáló réteg); páraáteresztő festék</t>
        </is>
      </c>
    </row>
    <row r="19">
      <c r="A19" t="inlineStr">
        <is>
          <t>18. Salétromos kivirágzás</t>
        </is>
      </c>
      <c r="B19" t="inlineStr">
        <is>
          <t>Nedvesség és beázás</t>
        </is>
      </c>
      <c r="C19" t="inlineStr">
        <is>
          <t>ALACSONY</t>
        </is>
      </c>
      <c r="D19" t="inlineStr">
        <is>
          <t>merev sörtéjű kefe; porszívó; szanálóvakolat vagy sótároló alapvakolat; páraáteresztő festék</t>
        </is>
      </c>
    </row>
    <row r="20">
      <c r="A20" t="inlineStr">
        <is>
          <t>19. Penész és páralecsapódás a falsarkokban</t>
        </is>
      </c>
      <c r="B20" t="inlineStr">
        <is>
          <t>Nedvesség és beázás</t>
        </is>
      </c>
      <c r="C20" t="inlineStr">
        <is>
          <t>KÖZEPES</t>
        </is>
      </c>
      <c r="D20" t="inlineStr">
        <is>
          <t>páratartalom-mérő; felületi hőmérő vagy hőkamera; gombaölő szer; penészgátló festék; résszellőző vagy páraelszívó</t>
        </is>
      </c>
    </row>
    <row r="21">
      <c r="A21" t="inlineStr">
        <is>
          <t>20. Beázás a tetőn keresztül</t>
        </is>
      </c>
      <c r="B21" t="inlineStr">
        <is>
          <t>Nedvesség és beázás</t>
        </is>
      </c>
      <c r="C21" t="inlineStr">
        <is>
          <t>MAGAS</t>
        </is>
      </c>
      <c r="D21" t="inlineStr">
        <is>
          <t>pót cserép vagy lemez; bádogos anyagok és tömítő; tetőfólia; hőszigetelés; gipszkarton vagy vakolat a belső javításhoz</t>
        </is>
      </c>
    </row>
    <row r="22">
      <c r="A22" t="inlineStr">
        <is>
          <t>21. Beázás a nyílászárók körül</t>
        </is>
      </c>
      <c r="B22" t="inlineStr">
        <is>
          <t>Nedvesség és beázás</t>
        </is>
      </c>
      <c r="C22" t="inlineStr">
        <is>
          <t>KÖZEPES</t>
        </is>
      </c>
      <c r="D22" t="inlineStr">
        <is>
          <t>kültéri és beltéri csatlakozószalag; tömítő (rugalmas, UV-álló); ablakpárkány vízorral; PU-hab</t>
        </is>
      </c>
    </row>
    <row r="23">
      <c r="A23" t="inlineStr">
        <is>
          <t>22. Vizes helyiség vízszigetelési hibája</t>
        </is>
      </c>
      <c r="B23" t="inlineStr">
        <is>
          <t>Nedvesség és beázás</t>
        </is>
      </c>
      <c r="C23" t="inlineStr">
        <is>
          <t>MAGAS</t>
        </is>
      </c>
      <c r="D23" t="inlineStr">
        <is>
          <t>kenhető vízszigetelés; hajlaterősítő szalag és sarokelemek; csőmandzsetta; flexibilis csemperagasztó; vízzáró fuga és szaniter szilikon</t>
        </is>
      </c>
    </row>
    <row r="24">
      <c r="A24" t="inlineStr">
        <is>
          <t>23. Szivárgó vezeték nyoma</t>
        </is>
      </c>
      <c r="B24" t="inlineStr">
        <is>
          <t>Nedvesség és beázás</t>
        </is>
      </c>
      <c r="C24" t="inlineStr">
        <is>
          <t>MAGAS</t>
        </is>
      </c>
      <c r="D24" t="inlineStr">
        <is>
          <t>nyomáspróba-készlet; nedvességmérő; csőanyag és idomok; légszárító; javítóvakolat</t>
        </is>
      </c>
    </row>
    <row r="25">
      <c r="A25" t="inlineStr">
        <is>
          <t>24. Homlokzati lefolyási nyomok és elszíneződés</t>
        </is>
      </c>
      <c r="B25" t="inlineStr">
        <is>
          <t>Nedvesség és beázás</t>
        </is>
      </c>
      <c r="C25" t="inlineStr">
        <is>
          <t>ALACSONY</t>
        </is>
      </c>
      <c r="D25" t="inlineStr">
        <is>
          <t>homlokzattisztító; algaölő szer; vízorr-profil; homlokzatfesték</t>
        </is>
      </c>
    </row>
    <row r="26">
      <c r="A26" t="inlineStr">
        <is>
          <t>25. Vakolatleválás</t>
        </is>
      </c>
      <c r="B26" t="inlineStr">
        <is>
          <t>Vakolat és festés</t>
        </is>
      </c>
      <c r="C26" t="inlineStr">
        <is>
          <t>KÖZEPES</t>
        </is>
      </c>
      <c r="D26" t="inlineStr">
        <is>
          <t>kalapács; drótkefe; alapozó vagy tapadóhíd; vakolat; üvegszövet háló</t>
        </is>
      </c>
    </row>
    <row r="27">
      <c r="A27" t="inlineStr">
        <is>
          <t>26. Porló, morzsolódó vakolat</t>
        </is>
      </c>
      <c r="B27" t="inlineStr">
        <is>
          <t>Vakolat és festés</t>
        </is>
      </c>
      <c r="C27" t="inlineStr">
        <is>
          <t>KÖZEPES</t>
        </is>
      </c>
      <c r="D27" t="inlineStr">
        <is>
          <t>nedvességmérő; szilárdító alapozó; vakolat vagy szanálóvakolat</t>
        </is>
      </c>
    </row>
    <row r="28">
      <c r="A28" t="inlineStr">
        <is>
          <t>27. Hólyagosodó, leváló festés</t>
        </is>
      </c>
      <c r="B28" t="inlineStr">
        <is>
          <t>Vakolat és festés</t>
        </is>
      </c>
      <c r="C28" t="inlineStr">
        <is>
          <t>ALACSONY</t>
        </is>
      </c>
      <c r="D28" t="inlineStr">
        <is>
          <t>spakli; nedvességmérő; alapozó; páraáteresztő festék</t>
        </is>
      </c>
    </row>
    <row r="29">
      <c r="A29" t="inlineStr">
        <is>
          <t>28. Festék krétásodása és kifakulása</t>
        </is>
      </c>
      <c r="B29" t="inlineStr">
        <is>
          <t>Vakolat és festés</t>
        </is>
      </c>
      <c r="C29" t="inlineStr">
        <is>
          <t>ALACSONY</t>
        </is>
      </c>
      <c r="D29" t="inlineStr">
        <is>
          <t>homlokzattisztító; mélyalapozó; UV-álló homlokzatfesték</t>
        </is>
      </c>
    </row>
    <row r="30">
      <c r="A30" t="inlineStr">
        <is>
          <t>29. Repedés a hőszigetelő rendszeren</t>
        </is>
      </c>
      <c r="B30" t="inlineStr">
        <is>
          <t>Vakolat és festés</t>
        </is>
      </c>
      <c r="C30" t="inlineStr">
        <is>
          <t>KÖZEPES</t>
        </is>
      </c>
      <c r="D30" t="inlineStr">
        <is>
          <t>ágyazóhabarcs; üvegszövet háló; vékonyvakolat; sarokvédő profil</t>
        </is>
      </c>
    </row>
    <row r="31">
      <c r="A31" t="inlineStr">
        <is>
          <t>30. Kirajzolódó dübelek a homlokzaton</t>
        </is>
      </c>
      <c r="B31" t="inlineStr">
        <is>
          <t>Vakolat és festés</t>
        </is>
      </c>
      <c r="C31" t="inlineStr">
        <is>
          <t>ALACSONY</t>
        </is>
      </c>
      <c r="D31" t="inlineStr">
        <is>
          <t>algaölő szer; algagátló festék</t>
        </is>
      </c>
    </row>
    <row r="32">
      <c r="A32" t="inlineStr">
        <is>
          <t>31. Gipszkarton repedése az illesztéseknél</t>
        </is>
      </c>
      <c r="B32" t="inlineStr">
        <is>
          <t>Vakolat és festés</t>
        </is>
      </c>
      <c r="C32" t="inlineStr">
        <is>
          <t>ALACSONY</t>
        </is>
      </c>
      <c r="D32" t="inlineStr">
        <is>
          <t>gipszkarton csavar; üvegszövet vagy papír fugaszalag; hézagoló glett; csiszoló</t>
        </is>
      </c>
    </row>
    <row r="33">
      <c r="A33" t="inlineStr">
        <is>
          <t>32. Repedő, kihulló fugák</t>
        </is>
      </c>
      <c r="B33" t="inlineStr">
        <is>
          <t>Burkolatok és padlók</t>
        </is>
      </c>
      <c r="C33" t="inlineStr">
        <is>
          <t>ALACSONY</t>
        </is>
      </c>
      <c r="D33" t="inlineStr">
        <is>
          <t>fugakaparó; flexibilis vagy vízzáró fugázó; szaniter szilikon</t>
        </is>
      </c>
    </row>
    <row r="34">
      <c r="A34" t="inlineStr">
        <is>
          <t>33. Repedt kerámialap</t>
        </is>
      </c>
      <c r="B34" t="inlineStr">
        <is>
          <t>Burkolatok és padlók</t>
        </is>
      </c>
      <c r="C34" t="inlineStr">
        <is>
          <t>ALACSONY</t>
        </is>
      </c>
      <c r="D34" t="inlineStr">
        <is>
          <t>fugavágó; véső; flexibilis csemperagasztó; pót lap</t>
        </is>
      </c>
    </row>
    <row r="35">
      <c r="A35" t="inlineStr">
        <is>
          <t>34. Kongó kerámiaburkolat</t>
        </is>
      </c>
      <c r="B35" t="inlineStr">
        <is>
          <t>Burkolatok és padlók</t>
        </is>
      </c>
      <c r="C35" t="inlineStr">
        <is>
          <t>KÖZEPES</t>
        </is>
      </c>
      <c r="D35" t="inlineStr">
        <is>
          <t>gumikalapács; csemperagasztó; injektáló ragasztó</t>
        </is>
      </c>
    </row>
    <row r="36">
      <c r="A36" t="inlineStr">
        <is>
          <t>35. Leváló kerámialapok</t>
        </is>
      </c>
      <c r="B36" t="inlineStr">
        <is>
          <t>Burkolatok és padlók</t>
        </is>
      </c>
      <c r="C36" t="inlineStr">
        <is>
          <t>MAGAS</t>
        </is>
      </c>
      <c r="D36" t="inlineStr">
        <is>
          <t>spakli; csiszoló; flexibilis ragasztó; fogas glettvas</t>
        </is>
      </c>
    </row>
    <row r="37">
      <c r="A37" t="inlineStr">
        <is>
          <t>36. Homlokzati burkolat leválása</t>
        </is>
      </c>
      <c r="B37" t="inlineStr">
        <is>
          <t>Burkolatok és padlók</t>
        </is>
      </c>
      <c r="C37" t="inlineStr">
        <is>
          <t>SÜRGŐS</t>
        </is>
      </c>
      <c r="D37" t="inlineStr">
        <is>
          <t>lezárás, figyelmeztető szalag; emelő vagy állvány; mechanikus rögzítők</t>
        </is>
      </c>
    </row>
    <row r="38">
      <c r="A38" t="inlineStr">
        <is>
          <t>37. Parketta hézagosodása</t>
        </is>
      </c>
      <c r="B38" t="inlineStr">
        <is>
          <t>Burkolatok és padlók</t>
        </is>
      </c>
      <c r="C38" t="inlineStr">
        <is>
          <t>ALACSONY</t>
        </is>
      </c>
      <c r="D38" t="inlineStr">
        <is>
          <t>páratartalom-mérő; párásító; fakitt</t>
        </is>
      </c>
    </row>
    <row r="39">
      <c r="A39" t="inlineStr">
        <is>
          <t>38. Felpúposodott padló</t>
        </is>
      </c>
      <c r="B39" t="inlineStr">
        <is>
          <t>Burkolatok és padlók</t>
        </is>
      </c>
      <c r="C39" t="inlineStr">
        <is>
          <t>KÖZEPES</t>
        </is>
      </c>
      <c r="D39" t="inlineStr">
        <is>
          <t>nedvességmérő; légszárító; szegélyléc</t>
        </is>
      </c>
    </row>
    <row r="40">
      <c r="A40" t="inlineStr">
        <is>
          <t>39. Esztrich repedése és leválása</t>
        </is>
      </c>
      <c r="B40" t="inlineStr">
        <is>
          <t>Burkolatok és padlók</t>
        </is>
      </c>
      <c r="C40" t="inlineStr">
        <is>
          <t>KÖZEPES</t>
        </is>
      </c>
      <c r="D40" t="inlineStr">
        <is>
          <t>vágókorong; epoxigyanta és varrókapcsok; injektáló gyanta; javítóesztrich</t>
        </is>
      </c>
    </row>
    <row r="41">
      <c r="A41" t="inlineStr">
        <is>
          <t>40. Porló, kopó betonpadló</t>
        </is>
      </c>
      <c r="B41" t="inlineStr">
        <is>
          <t>Burkolatok és padlók</t>
        </is>
      </c>
      <c r="C41" t="inlineStr">
        <is>
          <t>ALACSONY</t>
        </is>
      </c>
      <c r="D41" t="inlineStr">
        <is>
          <t>porszívó; szilárdító impregnáló; csiszológép; bevonat</t>
        </is>
      </c>
    </row>
    <row r="42">
      <c r="A42" t="inlineStr">
        <is>
          <t>41. Elégtelen betonfedés, látható betonacél</t>
        </is>
      </c>
      <c r="B42" t="inlineStr">
        <is>
          <t>Beton és vasbeton</t>
        </is>
      </c>
      <c r="C42" t="inlineStr">
        <is>
          <t>MAGAS</t>
        </is>
      </c>
      <c r="D42" t="inlineStr">
        <is>
          <t>véső; drótkefe vagy homokfúvó; korrózióvédő; szerkezeti javítóhabarcs</t>
        </is>
      </c>
    </row>
    <row r="43">
      <c r="A43" t="inlineStr">
        <is>
          <t>42. Betonacél korróziója és rozsdafoltok</t>
        </is>
      </c>
      <c r="B43" t="inlineStr">
        <is>
          <t>Beton és vasbeton</t>
        </is>
      </c>
      <c r="C43" t="inlineStr">
        <is>
          <t>MAGAS</t>
        </is>
      </c>
      <c r="D43" t="inlineStr">
        <is>
          <t>kalapács; drótkefe; korrózióvédő; javítóhabarcs</t>
        </is>
      </c>
    </row>
    <row r="44">
      <c r="A44" t="inlineStr">
        <is>
          <t>43. Fagykár: lepattogzó betonfelület</t>
        </is>
      </c>
      <c r="B44" t="inlineStr">
        <is>
          <t>Beton és vasbeton</t>
        </is>
      </c>
      <c r="C44" t="inlineStr">
        <is>
          <t>KÖZEPES</t>
        </is>
      </c>
      <c r="D44" t="inlineStr">
        <is>
          <t>véső; fagyálló javítóhabarcs; hidrofób impregnáló</t>
        </is>
      </c>
    </row>
    <row r="45">
      <c r="A45" t="inlineStr">
        <is>
          <t>44. Túlzott lehajlás (gerenda, födém)</t>
        </is>
      </c>
      <c r="B45" t="inlineStr">
        <is>
          <t>Beton és vasbeton</t>
        </is>
      </c>
      <c r="C45" t="inlineStr">
        <is>
          <t>MAGAS</t>
        </is>
      </c>
      <c r="D45" t="inlineStr">
        <is>
          <t>lézer szintező vagy zsinór; ideiglenes alátámasztás</t>
        </is>
      </c>
    </row>
    <row r="46">
      <c r="A46" t="inlineStr">
        <is>
          <t>45. Erkélylemez és párkány károsodása</t>
        </is>
      </c>
      <c r="B46" t="inlineStr">
        <is>
          <t>Tető, homlokzat és egyéb szerkezetek</t>
        </is>
      </c>
      <c r="C46" t="inlineStr">
        <is>
          <t>MAGAS</t>
        </is>
      </c>
      <c r="D46" t="inlineStr">
        <is>
          <t>javítóhabarcs; korrózióvédő; kenhető vízszigetelés; vízorr-profil</t>
        </is>
      </c>
    </row>
    <row r="47">
      <c r="A47" t="inlineStr">
        <is>
          <t>46. Lapostető vízszigetelésének hólyagosodása</t>
        </is>
      </c>
      <c r="B47" t="inlineStr">
        <is>
          <t>Tető, homlokzat és egyéb szerkezetek</t>
        </is>
      </c>
      <c r="C47" t="inlineStr">
        <is>
          <t>KÖZEPES</t>
        </is>
      </c>
      <c r="D47" t="inlineStr">
        <is>
          <t>kés; hőlégfúvó vagy gázláng (szakember); foltozó szigetelőlemez</t>
        </is>
      </c>
    </row>
    <row r="48">
      <c r="A48" t="inlineStr">
        <is>
          <t>47. Pangó víz a lapostetőn</t>
        </is>
      </c>
      <c r="B48" t="inlineStr">
        <is>
          <t>Tető, homlokzat és egyéb szerkezetek</t>
        </is>
      </c>
      <c r="C48" t="inlineStr">
        <is>
          <t>KÖZEPES</t>
        </is>
      </c>
      <c r="D48" t="inlineStr">
        <is>
          <t>vízmérték vagy lézer; lejtésképző anyag; lefolyó</t>
        </is>
      </c>
    </row>
    <row r="49">
      <c r="A49" t="inlineStr">
        <is>
          <t>48. Ereszcsatorna és lefolyó hibája</t>
        </is>
      </c>
      <c r="B49" t="inlineStr">
        <is>
          <t>Tető, homlokzat és egyéb szerkezetek</t>
        </is>
      </c>
      <c r="C49" t="inlineStr">
        <is>
          <t>KÖZEPES</t>
        </is>
      </c>
      <c r="D49" t="inlineStr">
        <is>
          <t>létra; tömítő; csatornaelemek; esővíz-kifolyó</t>
        </is>
      </c>
    </row>
    <row r="50">
      <c r="A50" t="inlineStr">
        <is>
          <t>49. Kémény károsodása</t>
        </is>
      </c>
      <c r="B50" t="inlineStr">
        <is>
          <t>Tető, homlokzat és egyéb szerkezetek</t>
        </is>
      </c>
      <c r="C50" t="inlineStr">
        <is>
          <t>MAGAS</t>
        </is>
      </c>
      <c r="D50" t="inlineStr">
        <is>
          <t>fedlap; bélelő cső; bádogos anyag</t>
        </is>
      </c>
    </row>
    <row r="51">
      <c r="A51" t="inlineStr">
        <is>
          <t>50. Faszerkezet korhadása és rovarkárosodás</t>
        </is>
      </c>
      <c r="B51" t="inlineStr">
        <is>
          <t>Tető, homlokzat és egyéb szerkezetek</t>
        </is>
      </c>
      <c r="C51" t="inlineStr">
        <is>
          <t>MAGAS</t>
        </is>
      </c>
      <c r="D51" t="inlineStr">
        <is>
          <t>ár vagy csavarhúzó a szúrópróbához; faanyagvédő szer; pótfa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2026-10-20T04:45:20Z</dcterms:created>
  <dcterms:modified xmlns:dcterms="http://purl.org/dc/terms/" xmlns:xsi="http://www.w3.org/2001/XMLSchema-instance" xsi:type="dcterms:W3CDTF">2026-10-20T04:45:20Z</dcterms:modified>
</cp:coreProperties>
</file>